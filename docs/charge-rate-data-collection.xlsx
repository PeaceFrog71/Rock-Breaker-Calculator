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  <sheet xmlns:r="http://schemas.openxmlformats.org/officeDocument/2006/relationships" name="Equipment Reference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D9FF"/>
      <sz val="14"/>
    </font>
    <font>
      <i val="1"/>
      <color rgb="00666666"/>
      <sz val="10"/>
    </font>
    <font>
      <b val="1"/>
      <color rgb="0000D9FF"/>
      <sz val="12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A0E27"/>
        <bgColor rgb="000A0E27"/>
      </patternFill>
    </fill>
    <fill>
      <patternFill patternType="solid">
        <fgColor rgb="001B2A4A"/>
        <bgColor rgb="001B2A4A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40" customWidth="1" min="10" max="10"/>
  </cols>
  <sheetData>
    <row r="1">
      <c r="A1" s="1" t="inlineStr">
        <is>
          <t>Charge Rate Data Collection - Issue #278</t>
        </is>
      </c>
    </row>
    <row r="2">
      <c r="A2" s="2" t="inlineStr">
        <is>
          <t>Yellow cells = fill in during testing. Green cells = auto-calculated. Keep rock properties consistent within each test group.</t>
        </is>
      </c>
    </row>
    <row r="4">
      <c r="A4" s="3" t="inlineStr">
        <is>
          <t>ROCK PROPERTIES (keep consistent per test group)</t>
        </is>
      </c>
    </row>
    <row r="5">
      <c r="A5" s="4" t="inlineStr">
        <is>
          <t>Test #</t>
        </is>
      </c>
      <c r="B5" s="4" t="inlineStr">
        <is>
          <t>Rock Mass</t>
        </is>
      </c>
      <c r="C5" s="4" t="inlineStr">
        <is>
          <t>Rock Resistance</t>
        </is>
      </c>
      <c r="D5" s="4" t="inlineStr">
        <is>
          <t>Laser Head</t>
        </is>
      </c>
      <c r="E5" s="4" t="inlineStr">
        <is>
          <t>Module 1</t>
        </is>
      </c>
      <c r="F5" s="4" t="inlineStr">
        <is>
          <t>Module 2</t>
        </is>
      </c>
      <c r="G5" s="4" t="inlineStr">
        <is>
          <t>Module 3</t>
        </is>
      </c>
      <c r="H5" s="4" t="inlineStr">
        <is>
          <t>Gadget</t>
        </is>
      </c>
      <c r="I5" s="4" t="inlineStr">
        <is>
          <t>Time to Fill (sec)</t>
        </is>
      </c>
      <c r="J5" s="4" t="inlineStr">
        <is>
          <t>Notes</t>
        </is>
      </c>
    </row>
    <row r="6">
      <c r="A6" s="5" t="n">
        <v>1</v>
      </c>
      <c r="B6" s="6" t="inlineStr"/>
      <c r="C6" s="6" t="inlineStr"/>
      <c r="D6" s="5" t="inlineStr">
        <is>
          <t>Lancet MH1</t>
        </is>
      </c>
      <c r="E6" s="5" t="inlineStr">
        <is>
          <t>---</t>
        </is>
      </c>
      <c r="F6" s="5" t="inlineStr">
        <is>
          <t>---</t>
        </is>
      </c>
      <c r="G6" s="5" t="inlineStr">
        <is>
          <t>---</t>
        </is>
      </c>
      <c r="H6" s="5" t="inlineStr">
        <is>
          <t>---</t>
        </is>
      </c>
      <c r="I6" s="6" t="inlineStr"/>
      <c r="J6" s="5" t="inlineStr">
        <is>
          <t>BASELINE: No mods, no gadgets</t>
        </is>
      </c>
    </row>
    <row r="7">
      <c r="A7" s="5" t="n">
        <v>2</v>
      </c>
      <c r="B7" s="6" t="inlineStr"/>
      <c r="C7" s="6" t="inlineStr"/>
      <c r="D7" s="5" t="inlineStr">
        <is>
          <t>Hofstede-S1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6" t="inlineStr"/>
      <c r="J7" s="5" t="inlineStr">
        <is>
          <t>Baseline: Different laser head</t>
        </is>
      </c>
    </row>
    <row r="8">
      <c r="A8" s="5" t="n">
        <v>3</v>
      </c>
      <c r="B8" s="6" t="inlineStr"/>
      <c r="C8" s="6" t="inlineStr"/>
      <c r="D8" s="5" t="inlineStr">
        <is>
          <t>Helix I</t>
        </is>
      </c>
      <c r="E8" s="5" t="inlineStr">
        <is>
          <t>---</t>
        </is>
      </c>
      <c r="F8" s="5" t="inlineStr">
        <is>
          <t>---</t>
        </is>
      </c>
      <c r="G8" s="5" t="inlineStr">
        <is>
          <t>---</t>
        </is>
      </c>
      <c r="H8" s="5" t="inlineStr">
        <is>
          <t>---</t>
        </is>
      </c>
      <c r="I8" s="6" t="inlineStr"/>
      <c r="J8" s="5" t="inlineStr">
        <is>
          <t>Baseline: Different laser head</t>
        </is>
      </c>
    </row>
    <row r="9">
      <c r="A9" s="5" t="n">
        <v>4</v>
      </c>
      <c r="B9" s="6" t="inlineStr"/>
      <c r="C9" s="6" t="inlineStr"/>
      <c r="D9" s="5" t="inlineStr">
        <is>
          <t>Arbor MH1</t>
        </is>
      </c>
      <c r="E9" s="5" t="inlineStr">
        <is>
          <t>---</t>
        </is>
      </c>
      <c r="F9" s="5" t="inlineStr">
        <is>
          <t>---</t>
        </is>
      </c>
      <c r="G9" s="5" t="inlineStr">
        <is>
          <t>---</t>
        </is>
      </c>
      <c r="H9" s="5" t="inlineStr">
        <is>
          <t>---</t>
        </is>
      </c>
      <c r="I9" s="6" t="inlineStr"/>
      <c r="J9" s="5" t="inlineStr">
        <is>
          <t>Baseline: Different laser head</t>
        </is>
      </c>
    </row>
    <row r="10">
      <c r="A10" s="5" t="n">
        <v>5</v>
      </c>
      <c r="B10" s="6" t="inlineStr"/>
      <c r="C10" s="6" t="inlineStr"/>
      <c r="D10" s="5" t="inlineStr">
        <is>
          <t>Impact I</t>
        </is>
      </c>
      <c r="E10" s="5" t="inlineStr">
        <is>
          <t>---</t>
        </is>
      </c>
      <c r="F10" s="5" t="inlineStr">
        <is>
          <t>---</t>
        </is>
      </c>
      <c r="G10" s="5" t="inlineStr">
        <is>
          <t>---</t>
        </is>
      </c>
      <c r="H10" s="5" t="inlineStr">
        <is>
          <t>---</t>
        </is>
      </c>
      <c r="I10" s="6" t="inlineStr"/>
      <c r="J10" s="5" t="inlineStr">
        <is>
          <t>Baseline: Different laser head</t>
        </is>
      </c>
    </row>
    <row r="11">
      <c r="A11" s="5" t="n">
        <v>6</v>
      </c>
      <c r="B11" s="6" t="inlineStr"/>
      <c r="C11" s="6" t="inlineStr"/>
      <c r="D11" s="5" t="inlineStr">
        <is>
          <t>Klein-S1</t>
        </is>
      </c>
      <c r="E11" s="5" t="inlineStr">
        <is>
          <t>---</t>
        </is>
      </c>
      <c r="F11" s="5" t="inlineStr">
        <is>
          <t>---</t>
        </is>
      </c>
      <c r="G11" s="5" t="inlineStr">
        <is>
          <t>---</t>
        </is>
      </c>
      <c r="H11" s="5" t="inlineStr">
        <is>
          <t>---</t>
        </is>
      </c>
      <c r="I11" s="6" t="inlineStr"/>
      <c r="J11" s="5" t="inlineStr">
        <is>
          <t>Baseline: Different laser head</t>
        </is>
      </c>
    </row>
    <row r="12">
      <c r="A12" s="5" t="n">
        <v>7</v>
      </c>
      <c r="B12" s="6" t="inlineStr"/>
      <c r="C12" s="6" t="inlineStr"/>
      <c r="D12" s="5" t="inlineStr"/>
      <c r="E12" s="5" t="inlineStr"/>
      <c r="F12" s="5" t="inlineStr"/>
      <c r="G12" s="5" t="inlineStr"/>
      <c r="H12" s="5" t="inlineStr"/>
      <c r="I12" s="6" t="inlineStr"/>
      <c r="J12" s="5" t="inlineStr"/>
    </row>
    <row r="13">
      <c r="A13" s="5" t="n">
        <v>8</v>
      </c>
      <c r="B13" s="6" t="inlineStr"/>
      <c r="C13" s="6" t="inlineStr"/>
      <c r="D13" s="5" t="inlineStr">
        <is>
          <t>Lancet MH1</t>
        </is>
      </c>
      <c r="E13" s="5" t="inlineStr">
        <is>
          <t>Torrent</t>
        </is>
      </c>
      <c r="F13" s="5" t="inlineStr">
        <is>
          <t>---</t>
        </is>
      </c>
      <c r="G13" s="5" t="inlineStr">
        <is>
          <t>---</t>
        </is>
      </c>
      <c r="H13" s="5" t="inlineStr">
        <is>
          <t>---</t>
        </is>
      </c>
      <c r="I13" s="6" t="inlineStr"/>
      <c r="J13" s="5" t="inlineStr">
        <is>
          <t>Single mod: +30% charge rate</t>
        </is>
      </c>
    </row>
    <row r="14">
      <c r="A14" s="5" t="n">
        <v>9</v>
      </c>
      <c r="B14" s="6" t="inlineStr"/>
      <c r="C14" s="6" t="inlineStr"/>
      <c r="D14" s="5" t="inlineStr">
        <is>
          <t>Lancet MH1</t>
        </is>
      </c>
      <c r="E14" s="5" t="inlineStr">
        <is>
          <t>Torrent II</t>
        </is>
      </c>
      <c r="F14" s="5" t="inlineStr">
        <is>
          <t>---</t>
        </is>
      </c>
      <c r="G14" s="5" t="inlineStr">
        <is>
          <t>---</t>
        </is>
      </c>
      <c r="H14" s="5" t="inlineStr">
        <is>
          <t>---</t>
        </is>
      </c>
      <c r="I14" s="6" t="inlineStr"/>
      <c r="J14" s="5" t="inlineStr">
        <is>
          <t>Single mod: +35% charge rate</t>
        </is>
      </c>
    </row>
    <row r="15">
      <c r="A15" s="5" t="n">
        <v>10</v>
      </c>
      <c r="B15" s="6" t="inlineStr"/>
      <c r="C15" s="6" t="inlineStr"/>
      <c r="D15" s="5" t="inlineStr">
        <is>
          <t>Lancet MH1</t>
        </is>
      </c>
      <c r="E15" s="5" t="inlineStr">
        <is>
          <t>Torrent III</t>
        </is>
      </c>
      <c r="F15" s="5" t="inlineStr">
        <is>
          <t>---</t>
        </is>
      </c>
      <c r="G15" s="5" t="inlineStr">
        <is>
          <t>---</t>
        </is>
      </c>
      <c r="H15" s="5" t="inlineStr">
        <is>
          <t>---</t>
        </is>
      </c>
      <c r="I15" s="6" t="inlineStr"/>
      <c r="J15" s="5" t="inlineStr">
        <is>
          <t>Single mod: +40% charge rate</t>
        </is>
      </c>
    </row>
    <row r="16">
      <c r="A16" s="5" t="n">
        <v>11</v>
      </c>
      <c r="B16" s="6" t="inlineStr"/>
      <c r="C16" s="6" t="inlineStr"/>
      <c r="D16" s="5" t="inlineStr">
        <is>
          <t>Lancet MH1</t>
        </is>
      </c>
      <c r="E16" s="5" t="inlineStr">
        <is>
          <t>Torpid</t>
        </is>
      </c>
      <c r="F16" s="5" t="inlineStr">
        <is>
          <t>---</t>
        </is>
      </c>
      <c r="G16" s="5" t="inlineStr">
        <is>
          <t>---</t>
        </is>
      </c>
      <c r="H16" s="5" t="inlineStr">
        <is>
          <t>---</t>
        </is>
      </c>
      <c r="I16" s="6" t="inlineStr"/>
      <c r="J16" s="5" t="inlineStr">
        <is>
          <t>Single mod: +60% charge rate (active)</t>
        </is>
      </c>
    </row>
    <row r="17">
      <c r="A17" s="5" t="n">
        <v>12</v>
      </c>
      <c r="B17" s="6" t="inlineStr"/>
      <c r="C17" s="6" t="inlineStr"/>
      <c r="D17" s="5" t="inlineStr"/>
      <c r="E17" s="5" t="inlineStr"/>
      <c r="F17" s="5" t="inlineStr"/>
      <c r="G17" s="5" t="inlineStr"/>
      <c r="H17" s="5" t="inlineStr"/>
      <c r="I17" s="6" t="inlineStr"/>
      <c r="J17" s="5" t="inlineStr"/>
    </row>
    <row r="18">
      <c r="A18" s="5" t="n">
        <v>13</v>
      </c>
      <c r="B18" s="6" t="inlineStr"/>
      <c r="C18" s="6" t="inlineStr"/>
      <c r="D18" s="5" t="inlineStr">
        <is>
          <t>Lancet MH1</t>
        </is>
      </c>
      <c r="E18" s="5" t="inlineStr">
        <is>
          <t>---</t>
        </is>
      </c>
      <c r="F18" s="5" t="inlineStr">
        <is>
          <t>---</t>
        </is>
      </c>
      <c r="G18" s="5" t="inlineStr">
        <is>
          <t>---</t>
        </is>
      </c>
      <c r="H18" s="5" t="inlineStr">
        <is>
          <t>Stalwart</t>
        </is>
      </c>
      <c r="I18" s="6" t="inlineStr"/>
      <c r="J18" s="5" t="inlineStr">
        <is>
          <t>Gadget only: +50% charge rate</t>
        </is>
      </c>
    </row>
    <row r="19">
      <c r="A19" s="5" t="n">
        <v>14</v>
      </c>
      <c r="B19" s="6" t="inlineStr"/>
      <c r="C19" s="6" t="inlineStr"/>
      <c r="D19" s="5" t="inlineStr">
        <is>
          <t>Lancet MH1</t>
        </is>
      </c>
      <c r="E19" s="5" t="inlineStr">
        <is>
          <t>---</t>
        </is>
      </c>
      <c r="F19" s="5" t="inlineStr">
        <is>
          <t>---</t>
        </is>
      </c>
      <c r="G19" s="5" t="inlineStr">
        <is>
          <t>---</t>
        </is>
      </c>
      <c r="H19" s="5" t="inlineStr">
        <is>
          <t>Waveshift</t>
        </is>
      </c>
      <c r="I19" s="6" t="inlineStr"/>
      <c r="J19" s="5" t="inlineStr">
        <is>
          <t>Gadget only: -30% charge rate</t>
        </is>
      </c>
    </row>
    <row r="20">
      <c r="A20" s="5" t="n">
        <v>15</v>
      </c>
      <c r="B20" s="6" t="inlineStr"/>
      <c r="C20" s="6" t="inlineStr"/>
      <c r="D20" s="5" t="inlineStr"/>
      <c r="E20" s="5" t="inlineStr"/>
      <c r="F20" s="5" t="inlineStr"/>
      <c r="G20" s="5" t="inlineStr"/>
      <c r="H20" s="5" t="inlineStr"/>
      <c r="I20" s="6" t="inlineStr"/>
      <c r="J20" s="5" t="inlineStr"/>
    </row>
    <row r="21">
      <c r="A21" s="5" t="n">
        <v>16</v>
      </c>
      <c r="B21" s="6" t="inlineStr"/>
      <c r="C21" s="6" t="inlineStr"/>
      <c r="D21" s="5" t="inlineStr">
        <is>
          <t>Hofstede-S1</t>
        </is>
      </c>
      <c r="E21" s="5" t="inlineStr">
        <is>
          <t>Torrent III</t>
        </is>
      </c>
      <c r="F21" s="5" t="inlineStr">
        <is>
          <t>---</t>
        </is>
      </c>
      <c r="G21" s="5" t="inlineStr">
        <is>
          <t>---</t>
        </is>
      </c>
      <c r="H21" s="5" t="inlineStr">
        <is>
          <t>Stalwart</t>
        </is>
      </c>
      <c r="I21" s="6" t="inlineStr"/>
      <c r="J21" s="5" t="inlineStr">
        <is>
          <t>FASTEST: High CR laser + mod + gadget</t>
        </is>
      </c>
    </row>
    <row r="22">
      <c r="A22" s="5" t="n">
        <v>17</v>
      </c>
      <c r="B22" s="6" t="inlineStr"/>
      <c r="C22" s="6" t="inlineStr"/>
      <c r="D22" s="5" t="inlineStr">
        <is>
          <t>Lancet MH1</t>
        </is>
      </c>
      <c r="E22" s="5" t="inlineStr">
        <is>
          <t>Torrent III</t>
        </is>
      </c>
      <c r="F22" s="5" t="inlineStr">
        <is>
          <t>---</t>
        </is>
      </c>
      <c r="G22" s="5" t="inlineStr">
        <is>
          <t>---</t>
        </is>
      </c>
      <c r="H22" s="5" t="inlineStr">
        <is>
          <t>Stalwart</t>
        </is>
      </c>
      <c r="I22" s="6" t="inlineStr"/>
      <c r="J22" s="5" t="inlineStr">
        <is>
          <t>FASTEST: Lancet variant</t>
        </is>
      </c>
    </row>
    <row r="23">
      <c r="A23" s="5" t="n">
        <v>18</v>
      </c>
      <c r="B23" s="6" t="inlineStr"/>
      <c r="C23" s="6" t="inlineStr"/>
      <c r="D23" s="5" t="inlineStr"/>
      <c r="E23" s="5" t="inlineStr"/>
      <c r="F23" s="5" t="inlineStr"/>
      <c r="G23" s="5" t="inlineStr"/>
      <c r="H23" s="5" t="inlineStr"/>
      <c r="I23" s="6" t="inlineStr"/>
      <c r="J23" s="5" t="inlineStr"/>
    </row>
    <row r="24">
      <c r="A24" s="5" t="n">
        <v>19</v>
      </c>
      <c r="B24" s="6" t="inlineStr"/>
      <c r="C24" s="6" t="inlineStr"/>
      <c r="D24" s="5" t="inlineStr">
        <is>
          <t>Arbor MH1</t>
        </is>
      </c>
      <c r="E24" s="5" t="inlineStr">
        <is>
          <t>Focus</t>
        </is>
      </c>
      <c r="F24" s="5" t="inlineStr">
        <is>
          <t>---</t>
        </is>
      </c>
      <c r="G24" s="5" t="inlineStr">
        <is>
          <t>---</t>
        </is>
      </c>
      <c r="H24" s="5" t="inlineStr">
        <is>
          <t>Waveshift</t>
        </is>
      </c>
      <c r="I24" s="6" t="inlineStr"/>
      <c r="J24" s="5" t="inlineStr">
        <is>
          <t>SLOWEST: No CR bonus + negative gadget</t>
        </is>
      </c>
    </row>
    <row r="25">
      <c r="A25" s="5" t="n">
        <v>20</v>
      </c>
      <c r="B25" s="6" t="inlineStr"/>
      <c r="C25" s="6" t="inlineStr"/>
      <c r="D25" s="5" t="inlineStr"/>
      <c r="E25" s="5" t="inlineStr"/>
      <c r="F25" s="5" t="inlineStr"/>
      <c r="G25" s="5" t="inlineStr"/>
      <c r="H25" s="5" t="inlineStr"/>
      <c r="I25" s="6" t="inlineStr"/>
      <c r="J25" s="5" t="inlineStr"/>
    </row>
    <row r="26">
      <c r="A26" s="5" t="n">
        <v>21</v>
      </c>
      <c r="B26" s="6" t="n"/>
      <c r="C26" s="6" t="n"/>
      <c r="D26" s="5" t="n"/>
      <c r="E26" s="5" t="n"/>
      <c r="F26" s="5" t="n"/>
      <c r="G26" s="5" t="n"/>
      <c r="H26" s="5" t="n"/>
      <c r="I26" s="6" t="n"/>
      <c r="J26" s="5" t="n"/>
    </row>
    <row r="27">
      <c r="A27" s="5" t="n">
        <v>22</v>
      </c>
      <c r="B27" s="6" t="n"/>
      <c r="C27" s="6" t="n"/>
      <c r="D27" s="5" t="n"/>
      <c r="E27" s="5" t="n"/>
      <c r="F27" s="5" t="n"/>
      <c r="G27" s="5" t="n"/>
      <c r="H27" s="5" t="n"/>
      <c r="I27" s="6" t="n"/>
      <c r="J27" s="5" t="n"/>
    </row>
    <row r="28">
      <c r="A28" s="5" t="n">
        <v>23</v>
      </c>
      <c r="B28" s="6" t="n"/>
      <c r="C28" s="6" t="n"/>
      <c r="D28" s="5" t="n"/>
      <c r="E28" s="5" t="n"/>
      <c r="F28" s="5" t="n"/>
      <c r="G28" s="5" t="n"/>
      <c r="H28" s="5" t="n"/>
      <c r="I28" s="6" t="n"/>
      <c r="J28" s="5" t="n"/>
    </row>
    <row r="29">
      <c r="A29" s="5" t="n">
        <v>24</v>
      </c>
      <c r="B29" s="6" t="n"/>
      <c r="C29" s="6" t="n"/>
      <c r="D29" s="5" t="n"/>
      <c r="E29" s="5" t="n"/>
      <c r="F29" s="5" t="n"/>
      <c r="G29" s="5" t="n"/>
      <c r="H29" s="5" t="n"/>
      <c r="I29" s="6" t="n"/>
      <c r="J29" s="5" t="n"/>
    </row>
    <row r="30">
      <c r="A30" s="5" t="n">
        <v>25</v>
      </c>
      <c r="B30" s="6" t="n"/>
      <c r="C30" s="6" t="n"/>
      <c r="D30" s="5" t="n"/>
      <c r="E30" s="5" t="n"/>
      <c r="F30" s="5" t="n"/>
      <c r="G30" s="5" t="n"/>
      <c r="H30" s="5" t="n"/>
      <c r="I30" s="6" t="n"/>
      <c r="J30" s="5" t="n"/>
    </row>
    <row r="31">
      <c r="A31" s="5" t="n">
        <v>26</v>
      </c>
      <c r="B31" s="6" t="n"/>
      <c r="C31" s="6" t="n"/>
      <c r="D31" s="5" t="n"/>
      <c r="E31" s="5" t="n"/>
      <c r="F31" s="5" t="n"/>
      <c r="G31" s="5" t="n"/>
      <c r="H31" s="5" t="n"/>
      <c r="I31" s="6" t="n"/>
      <c r="J31" s="5" t="n"/>
    </row>
    <row r="32">
      <c r="A32" s="5" t="n">
        <v>27</v>
      </c>
      <c r="B32" s="6" t="n"/>
      <c r="C32" s="6" t="n"/>
      <c r="D32" s="5" t="n"/>
      <c r="E32" s="5" t="n"/>
      <c r="F32" s="5" t="n"/>
      <c r="G32" s="5" t="n"/>
      <c r="H32" s="5" t="n"/>
      <c r="I32" s="6" t="n"/>
      <c r="J32" s="5" t="n"/>
    </row>
    <row r="33">
      <c r="A33" s="5" t="n">
        <v>28</v>
      </c>
      <c r="B33" s="6" t="n"/>
      <c r="C33" s="6" t="n"/>
      <c r="D33" s="5" t="n"/>
      <c r="E33" s="5" t="n"/>
      <c r="F33" s="5" t="n"/>
      <c r="G33" s="5" t="n"/>
      <c r="H33" s="5" t="n"/>
      <c r="I33" s="6" t="n"/>
      <c r="J33" s="5" t="n"/>
    </row>
    <row r="34">
      <c r="A34" s="5" t="n">
        <v>29</v>
      </c>
      <c r="B34" s="6" t="n"/>
      <c r="C34" s="6" t="n"/>
      <c r="D34" s="5" t="n"/>
      <c r="E34" s="5" t="n"/>
      <c r="F34" s="5" t="n"/>
      <c r="G34" s="5" t="n"/>
      <c r="H34" s="5" t="n"/>
      <c r="I34" s="6" t="n"/>
      <c r="J34" s="5" t="n"/>
    </row>
    <row r="35">
      <c r="A35" s="5" t="n">
        <v>30</v>
      </c>
      <c r="B35" s="6" t="n"/>
      <c r="C35" s="6" t="n"/>
      <c r="D35" s="5" t="n"/>
      <c r="E35" s="5" t="n"/>
      <c r="F35" s="5" t="n"/>
      <c r="G35" s="5" t="n"/>
      <c r="H35" s="5" t="n"/>
      <c r="I35" s="6" t="n"/>
      <c r="J35" s="5" t="n"/>
    </row>
    <row r="36">
      <c r="A36" s="5" t="n">
        <v>31</v>
      </c>
      <c r="B36" s="6" t="n"/>
      <c r="C36" s="6" t="n"/>
      <c r="D36" s="5" t="n"/>
      <c r="E36" s="5" t="n"/>
      <c r="F36" s="5" t="n"/>
      <c r="G36" s="5" t="n"/>
      <c r="H36" s="5" t="n"/>
      <c r="I36" s="6" t="n"/>
      <c r="J36" s="5" t="n"/>
    </row>
    <row r="37">
      <c r="A37" s="5" t="n">
        <v>32</v>
      </c>
      <c r="B37" s="6" t="n"/>
      <c r="C37" s="6" t="n"/>
      <c r="D37" s="5" t="n"/>
      <c r="E37" s="5" t="n"/>
      <c r="F37" s="5" t="n"/>
      <c r="G37" s="5" t="n"/>
      <c r="H37" s="5" t="n"/>
      <c r="I37" s="6" t="n"/>
      <c r="J37" s="5" t="n"/>
    </row>
    <row r="38">
      <c r="A38" s="5" t="n">
        <v>33</v>
      </c>
      <c r="B38" s="6" t="n"/>
      <c r="C38" s="6" t="n"/>
      <c r="D38" s="5" t="n"/>
      <c r="E38" s="5" t="n"/>
      <c r="F38" s="5" t="n"/>
      <c r="G38" s="5" t="n"/>
      <c r="H38" s="5" t="n"/>
      <c r="I38" s="6" t="n"/>
      <c r="J38" s="5" t="n"/>
    </row>
    <row r="39">
      <c r="A39" s="5" t="n">
        <v>34</v>
      </c>
      <c r="B39" s="6" t="n"/>
      <c r="C39" s="6" t="n"/>
      <c r="D39" s="5" t="n"/>
      <c r="E39" s="5" t="n"/>
      <c r="F39" s="5" t="n"/>
      <c r="G39" s="5" t="n"/>
      <c r="H39" s="5" t="n"/>
      <c r="I39" s="6" t="n"/>
      <c r="J39" s="5" t="n"/>
    </row>
    <row r="40">
      <c r="A40" s="5" t="n">
        <v>35</v>
      </c>
      <c r="B40" s="6" t="n"/>
      <c r="C40" s="6" t="n"/>
      <c r="D40" s="5" t="n"/>
      <c r="E40" s="5" t="n"/>
      <c r="F40" s="5" t="n"/>
      <c r="G40" s="5" t="n"/>
      <c r="H40" s="5" t="n"/>
      <c r="I40" s="6" t="n"/>
      <c r="J40" s="5" t="n"/>
    </row>
    <row r="41">
      <c r="A41" s="5" t="n">
        <v>36</v>
      </c>
      <c r="B41" s="6" t="n"/>
      <c r="C41" s="6" t="n"/>
      <c r="D41" s="5" t="n"/>
      <c r="E41" s="5" t="n"/>
      <c r="F41" s="5" t="n"/>
      <c r="G41" s="5" t="n"/>
      <c r="H41" s="5" t="n"/>
      <c r="I41" s="6" t="n"/>
      <c r="J41" s="5" t="n"/>
    </row>
    <row r="42">
      <c r="A42" s="5" t="n">
        <v>37</v>
      </c>
      <c r="B42" s="6" t="n"/>
      <c r="C42" s="6" t="n"/>
      <c r="D42" s="5" t="n"/>
      <c r="E42" s="5" t="n"/>
      <c r="F42" s="5" t="n"/>
      <c r="G42" s="5" t="n"/>
      <c r="H42" s="5" t="n"/>
      <c r="I42" s="6" t="n"/>
      <c r="J42" s="5" t="n"/>
    </row>
    <row r="43">
      <c r="A43" s="5" t="n">
        <v>38</v>
      </c>
      <c r="B43" s="6" t="n"/>
      <c r="C43" s="6" t="n"/>
      <c r="D43" s="5" t="n"/>
      <c r="E43" s="5" t="n"/>
      <c r="F43" s="5" t="n"/>
      <c r="G43" s="5" t="n"/>
      <c r="H43" s="5" t="n"/>
      <c r="I43" s="6" t="n"/>
      <c r="J43" s="5" t="n"/>
    </row>
    <row r="44">
      <c r="A44" s="5" t="n">
        <v>39</v>
      </c>
      <c r="B44" s="6" t="n"/>
      <c r="C44" s="6" t="n"/>
      <c r="D44" s="5" t="n"/>
      <c r="E44" s="5" t="n"/>
      <c r="F44" s="5" t="n"/>
      <c r="G44" s="5" t="n"/>
      <c r="H44" s="5" t="n"/>
      <c r="I44" s="6" t="n"/>
      <c r="J44" s="5" t="n"/>
    </row>
    <row r="45">
      <c r="A45" s="5" t="n">
        <v>40</v>
      </c>
      <c r="B45" s="6" t="n"/>
      <c r="C45" s="6" t="n"/>
      <c r="D45" s="5" t="n"/>
      <c r="E45" s="5" t="n"/>
      <c r="F45" s="5" t="n"/>
      <c r="G45" s="5" t="n"/>
      <c r="H45" s="5" t="n"/>
      <c r="I45" s="6" t="n"/>
      <c r="J45" s="5" t="n"/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0" customWidth="1" min="4" max="4"/>
  </cols>
  <sheetData>
    <row r="1">
      <c r="A1" s="7" t="inlineStr">
        <is>
          <t>Charge Rate Modifiers - From Equipment Database</t>
        </is>
      </c>
    </row>
    <row r="3">
      <c r="A3" s="3" t="inlineStr">
        <is>
          <t>LASER HEADS</t>
        </is>
      </c>
    </row>
    <row r="4">
      <c r="A4" s="4" t="inlineStr">
        <is>
          <t>Laser Head</t>
        </is>
      </c>
      <c r="B4" s="4" t="inlineStr">
        <is>
          <t>Charge Rate Modifier</t>
        </is>
      </c>
      <c r="C4" s="4" t="inlineStr">
        <is>
          <t>Effect</t>
        </is>
      </c>
      <c r="D4" s="4" t="inlineStr">
        <is>
          <t>Size</t>
        </is>
      </c>
    </row>
    <row r="5">
      <c r="A5" s="5" t="inlineStr">
        <is>
          <t>Lancet MH1</t>
        </is>
      </c>
      <c r="B5" s="5" t="n">
        <v>1.4</v>
      </c>
      <c r="C5" s="5" t="inlineStr">
        <is>
          <t>+40%</t>
        </is>
      </c>
      <c r="D5" s="5" t="inlineStr">
        <is>
          <t>S1</t>
        </is>
      </c>
    </row>
    <row r="6">
      <c r="A6" s="5" t="inlineStr">
        <is>
          <t>Lancet MH2</t>
        </is>
      </c>
      <c r="B6" s="5" t="n">
        <v>1.4</v>
      </c>
      <c r="C6" s="5" t="inlineStr">
        <is>
          <t>+40%</t>
        </is>
      </c>
      <c r="D6" s="5" t="inlineStr">
        <is>
          <t>S2</t>
        </is>
      </c>
    </row>
    <row r="7">
      <c r="A7" s="5" t="inlineStr">
        <is>
          <t>Hofstede-S1</t>
        </is>
      </c>
      <c r="B7" s="5" t="n">
        <v>1.2</v>
      </c>
      <c r="C7" s="5" t="inlineStr">
        <is>
          <t>+20%</t>
        </is>
      </c>
      <c r="D7" s="5" t="inlineStr">
        <is>
          <t>S1</t>
        </is>
      </c>
    </row>
    <row r="8">
      <c r="A8" s="5" t="inlineStr">
        <is>
          <t>Hofstede-S2</t>
        </is>
      </c>
      <c r="B8" s="5" t="n">
        <v>1.2</v>
      </c>
      <c r="C8" s="5" t="inlineStr">
        <is>
          <t>+20%</t>
        </is>
      </c>
      <c r="D8" s="5" t="inlineStr">
        <is>
          <t>S2</t>
        </is>
      </c>
    </row>
    <row r="9">
      <c r="A9" s="5" t="inlineStr">
        <is>
          <t>Pitman</t>
        </is>
      </c>
      <c r="B9" s="5" t="n">
        <v>0.6</v>
      </c>
      <c r="C9" s="5" t="inlineStr">
        <is>
          <t>-40%</t>
        </is>
      </c>
      <c r="D9" s="5" t="inlineStr">
        <is>
          <t>S0</t>
        </is>
      </c>
    </row>
    <row r="10">
      <c r="A10" s="5" t="inlineStr">
        <is>
          <t>Arbor MH1</t>
        </is>
      </c>
      <c r="B10" s="5" t="n">
        <v>1</v>
      </c>
      <c r="C10" s="5" t="inlineStr">
        <is>
          <t>None</t>
        </is>
      </c>
      <c r="D10" s="5" t="inlineStr">
        <is>
          <t>S1</t>
        </is>
      </c>
    </row>
    <row r="11">
      <c r="A11" s="5" t="inlineStr">
        <is>
          <t>Arbor MH2</t>
        </is>
      </c>
      <c r="B11" s="5" t="n">
        <v>1</v>
      </c>
      <c r="C11" s="5" t="inlineStr">
        <is>
          <t>None</t>
        </is>
      </c>
      <c r="D11" s="5" t="inlineStr">
        <is>
          <t>S2</t>
        </is>
      </c>
    </row>
    <row r="12">
      <c r="A12" s="5" t="inlineStr">
        <is>
          <t>Helix I</t>
        </is>
      </c>
      <c r="B12" s="5" t="n">
        <v>1</v>
      </c>
      <c r="C12" s="5" t="inlineStr">
        <is>
          <t>None</t>
        </is>
      </c>
      <c r="D12" s="5" t="inlineStr">
        <is>
          <t>S1</t>
        </is>
      </c>
    </row>
    <row r="13">
      <c r="A13" s="5" t="inlineStr">
        <is>
          <t>Helix II</t>
        </is>
      </c>
      <c r="B13" s="5" t="n">
        <v>1</v>
      </c>
      <c r="C13" s="5" t="inlineStr">
        <is>
          <t>None</t>
        </is>
      </c>
      <c r="D13" s="5" t="inlineStr">
        <is>
          <t>S2</t>
        </is>
      </c>
    </row>
    <row r="14">
      <c r="A14" s="5" t="inlineStr">
        <is>
          <t>Impact I</t>
        </is>
      </c>
      <c r="B14" s="5" t="n">
        <v>0.6</v>
      </c>
      <c r="C14" s="5" t="inlineStr">
        <is>
          <t>-40%</t>
        </is>
      </c>
      <c r="D14" s="5" t="inlineStr">
        <is>
          <t>S1</t>
        </is>
      </c>
    </row>
    <row r="15">
      <c r="A15" s="5" t="inlineStr">
        <is>
          <t>Impact II</t>
        </is>
      </c>
      <c r="B15" s="5" t="n">
        <v>0.6</v>
      </c>
      <c r="C15" s="5" t="inlineStr">
        <is>
          <t>-40%</t>
        </is>
      </c>
      <c r="D15" s="5" t="inlineStr">
        <is>
          <t>S2</t>
        </is>
      </c>
    </row>
    <row r="16">
      <c r="A16" s="5" t="inlineStr">
        <is>
          <t>Klein-S1</t>
        </is>
      </c>
      <c r="B16" s="5" t="n">
        <v>1</v>
      </c>
      <c r="C16" s="5" t="inlineStr">
        <is>
          <t>None</t>
        </is>
      </c>
      <c r="D16" s="5" t="inlineStr">
        <is>
          <t>S1</t>
        </is>
      </c>
    </row>
    <row r="17">
      <c r="A17" s="5" t="inlineStr">
        <is>
          <t>Klein-S2</t>
        </is>
      </c>
      <c r="B17" s="5" t="n">
        <v>1</v>
      </c>
      <c r="C17" s="5" t="inlineStr">
        <is>
          <t>None</t>
        </is>
      </c>
      <c r="D17" s="5" t="inlineStr">
        <is>
          <t>S2</t>
        </is>
      </c>
    </row>
    <row r="20">
      <c r="A20" s="3" t="inlineStr">
        <is>
          <t>MODULES</t>
        </is>
      </c>
    </row>
    <row r="21">
      <c r="A21" s="4" t="inlineStr">
        <is>
          <t>Module</t>
        </is>
      </c>
      <c r="B21" s="4" t="inlineStr">
        <is>
          <t>Charge Rate Modifier</t>
        </is>
      </c>
      <c r="C21" s="4" t="inlineStr">
        <is>
          <t>Effect</t>
        </is>
      </c>
      <c r="D21" s="4" t="inlineStr">
        <is>
          <t>Type</t>
        </is>
      </c>
    </row>
    <row r="22">
      <c r="A22" s="5" t="inlineStr">
        <is>
          <t>Torrent</t>
        </is>
      </c>
      <c r="B22" s="5" t="n">
        <v>1.3</v>
      </c>
      <c r="C22" s="5" t="inlineStr">
        <is>
          <t>+30%</t>
        </is>
      </c>
      <c r="D22" s="5" t="inlineStr">
        <is>
          <t>Passive</t>
        </is>
      </c>
    </row>
    <row r="23">
      <c r="A23" s="5" t="inlineStr">
        <is>
          <t>Torrent II</t>
        </is>
      </c>
      <c r="B23" s="5" t="n">
        <v>1.35</v>
      </c>
      <c r="C23" s="5" t="inlineStr">
        <is>
          <t>+35%</t>
        </is>
      </c>
      <c r="D23" s="5" t="inlineStr">
        <is>
          <t>Passive</t>
        </is>
      </c>
    </row>
    <row r="24">
      <c r="A24" s="5" t="inlineStr">
        <is>
          <t>Torrent III</t>
        </is>
      </c>
      <c r="B24" s="5" t="n">
        <v>1.4</v>
      </c>
      <c r="C24" s="5" t="inlineStr">
        <is>
          <t>+40%</t>
        </is>
      </c>
      <c r="D24" s="5" t="inlineStr">
        <is>
          <t>Passive</t>
        </is>
      </c>
    </row>
    <row r="25">
      <c r="A25" s="5" t="inlineStr">
        <is>
          <t>Torpid</t>
        </is>
      </c>
      <c r="B25" s="5" t="n">
        <v>1.6</v>
      </c>
      <c r="C25" s="5" t="inlineStr">
        <is>
          <t>+60%</t>
        </is>
      </c>
      <c r="D25" s="5" t="inlineStr">
        <is>
          <t>Active</t>
        </is>
      </c>
    </row>
    <row r="26">
      <c r="A26" s="5" t="inlineStr">
        <is>
          <t>Vaux</t>
        </is>
      </c>
      <c r="B26" s="5" t="n">
        <v>0.8</v>
      </c>
      <c r="C26" s="5" t="inlineStr">
        <is>
          <t>-20%</t>
        </is>
      </c>
      <c r="D26" s="5" t="inlineStr">
        <is>
          <t>Passive</t>
        </is>
      </c>
    </row>
    <row r="27">
      <c r="A27" s="5" t="inlineStr">
        <is>
          <t>Vaux-C2</t>
        </is>
      </c>
      <c r="B27" s="5" t="n">
        <v>0.85</v>
      </c>
      <c r="C27" s="5" t="inlineStr">
        <is>
          <t>-15%</t>
        </is>
      </c>
      <c r="D27" s="5" t="inlineStr">
        <is>
          <t>Passive</t>
        </is>
      </c>
    </row>
    <row r="28">
      <c r="A28" s="5" t="inlineStr">
        <is>
          <t>Vaux-C3</t>
        </is>
      </c>
      <c r="B28" s="5" t="n">
        <v>0.95</v>
      </c>
      <c r="C28" s="5" t="inlineStr">
        <is>
          <t>-5%</t>
        </is>
      </c>
      <c r="D28" s="5" t="inlineStr">
        <is>
          <t>Passive</t>
        </is>
      </c>
    </row>
    <row r="31">
      <c r="A31" s="3" t="inlineStr">
        <is>
          <t>GADGETS</t>
        </is>
      </c>
    </row>
    <row r="32">
      <c r="A32" s="4" t="inlineStr">
        <is>
          <t>Gadget</t>
        </is>
      </c>
      <c r="B32" s="4" t="inlineStr">
        <is>
          <t>Charge Rate Modifier</t>
        </is>
      </c>
      <c r="C32" s="4" t="inlineStr">
        <is>
          <t>Effect</t>
        </is>
      </c>
      <c r="D32" s="4" t="inlineStr"/>
    </row>
    <row r="33">
      <c r="A33" s="5" t="inlineStr">
        <is>
          <t>Stalwart</t>
        </is>
      </c>
      <c r="B33" s="5" t="n">
        <v>1.5</v>
      </c>
      <c r="C33" s="5" t="inlineStr">
        <is>
          <t>+50%</t>
        </is>
      </c>
    </row>
    <row r="34">
      <c r="A34" s="5" t="inlineStr">
        <is>
          <t>Waveshift</t>
        </is>
      </c>
      <c r="B34" s="5" t="n">
        <v>0.7</v>
      </c>
      <c r="C34" s="5" t="inlineStr">
        <is>
          <t>-30%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8" customWidth="1" min="4" max="4"/>
    <col width="22" customWidth="1" min="5" max="5"/>
    <col width="22" customWidth="1" min="6" max="6"/>
  </cols>
  <sheetData>
    <row r="1">
      <c r="A1" s="7" t="inlineStr">
        <is>
          <t>Analysis - Fill in after data collection</t>
        </is>
      </c>
    </row>
    <row r="2">
      <c r="A2" s="8" t="inlineStr">
        <is>
          <t>Use this sheet to derive the base charge rate and validate modifier math</t>
        </is>
      </c>
    </row>
    <row r="4">
      <c r="A4" s="4" t="inlineStr">
        <is>
          <t>Test #</t>
        </is>
      </c>
      <c r="B4" s="4" t="inlineStr">
        <is>
          <t>Combined CR Modifier</t>
        </is>
      </c>
      <c r="C4" s="4" t="inlineStr">
        <is>
          <t>Measured Time (sec)</t>
        </is>
      </c>
      <c r="D4" s="4" t="inlineStr">
        <is>
          <t>Charge Rate (%/sec)</t>
        </is>
      </c>
      <c r="E4" s="4" t="inlineStr">
        <is>
          <t>Expected Ratio vs Baseline</t>
        </is>
      </c>
      <c r="F4" s="4" t="inlineStr">
        <is>
          <t>Actual Ratio vs Baseline</t>
        </is>
      </c>
    </row>
    <row r="5">
      <c r="A5" s="5" t="n">
        <v>1</v>
      </c>
      <c r="B5" s="6" t="n"/>
      <c r="C5" s="6" t="n"/>
      <c r="D5" s="9">
        <f>IF(C5&lt;&gt;"", 100/C5, "")</f>
        <v/>
      </c>
      <c r="E5" s="6" t="n"/>
      <c r="F5" s="9">
        <f>IF(AND(D5&lt;&gt;"",D$5&lt;&gt;""), D5/D$5, "")</f>
        <v/>
      </c>
    </row>
    <row r="6">
      <c r="A6" s="5" t="n">
        <v>2</v>
      </c>
      <c r="B6" s="6" t="n"/>
      <c r="C6" s="6" t="n"/>
      <c r="D6" s="9">
        <f>IF(C6&lt;&gt;"", 100/C6, "")</f>
        <v/>
      </c>
      <c r="E6" s="6" t="n"/>
      <c r="F6" s="9">
        <f>IF(AND(D6&lt;&gt;"",D$5&lt;&gt;""), D6/D$5, "")</f>
        <v/>
      </c>
    </row>
    <row r="7">
      <c r="A7" s="5" t="n">
        <v>3</v>
      </c>
      <c r="B7" s="6" t="n"/>
      <c r="C7" s="6" t="n"/>
      <c r="D7" s="9">
        <f>IF(C7&lt;&gt;"", 100/C7, "")</f>
        <v/>
      </c>
      <c r="E7" s="6" t="n"/>
      <c r="F7" s="9">
        <f>IF(AND(D7&lt;&gt;"",D$5&lt;&gt;""), D7/D$5, "")</f>
        <v/>
      </c>
    </row>
    <row r="8">
      <c r="A8" s="5" t="n">
        <v>4</v>
      </c>
      <c r="B8" s="6" t="n"/>
      <c r="C8" s="6" t="n"/>
      <c r="D8" s="9">
        <f>IF(C8&lt;&gt;"", 100/C8, "")</f>
        <v/>
      </c>
      <c r="E8" s="6" t="n"/>
      <c r="F8" s="9">
        <f>IF(AND(D8&lt;&gt;"",D$5&lt;&gt;""), D8/D$5, "")</f>
        <v/>
      </c>
    </row>
    <row r="9">
      <c r="A9" s="5" t="n">
        <v>5</v>
      </c>
      <c r="B9" s="6" t="n"/>
      <c r="C9" s="6" t="n"/>
      <c r="D9" s="9">
        <f>IF(C9&lt;&gt;"", 100/C9, "")</f>
        <v/>
      </c>
      <c r="E9" s="6" t="n"/>
      <c r="F9" s="9">
        <f>IF(AND(D9&lt;&gt;"",D$5&lt;&gt;""), D9/D$5, "")</f>
        <v/>
      </c>
    </row>
    <row r="10">
      <c r="A10" s="5" t="n">
        <v>6</v>
      </c>
      <c r="B10" s="6" t="n"/>
      <c r="C10" s="6" t="n"/>
      <c r="D10" s="9">
        <f>IF(C10&lt;&gt;"", 100/C10, "")</f>
        <v/>
      </c>
      <c r="E10" s="6" t="n"/>
      <c r="F10" s="9">
        <f>IF(AND(D10&lt;&gt;"",D$5&lt;&gt;""), D10/D$5, "")</f>
        <v/>
      </c>
    </row>
    <row r="11">
      <c r="A11" s="5" t="n">
        <v>7</v>
      </c>
      <c r="B11" s="6" t="n"/>
      <c r="C11" s="6" t="n"/>
      <c r="D11" s="9">
        <f>IF(C11&lt;&gt;"", 100/C11, "")</f>
        <v/>
      </c>
      <c r="E11" s="6" t="n"/>
      <c r="F11" s="9">
        <f>IF(AND(D11&lt;&gt;"",D$5&lt;&gt;""), D11/D$5, "")</f>
        <v/>
      </c>
    </row>
    <row r="12">
      <c r="A12" s="5" t="n">
        <v>8</v>
      </c>
      <c r="B12" s="6" t="n"/>
      <c r="C12" s="6" t="n"/>
      <c r="D12" s="9">
        <f>IF(C12&lt;&gt;"", 100/C12, "")</f>
        <v/>
      </c>
      <c r="E12" s="6" t="n"/>
      <c r="F12" s="9">
        <f>IF(AND(D12&lt;&gt;"",D$5&lt;&gt;""), D12/D$5, "")</f>
        <v/>
      </c>
    </row>
    <row r="13">
      <c r="A13" s="5" t="n">
        <v>9</v>
      </c>
      <c r="B13" s="6" t="n"/>
      <c r="C13" s="6" t="n"/>
      <c r="D13" s="9">
        <f>IF(C13&lt;&gt;"", 100/C13, "")</f>
        <v/>
      </c>
      <c r="E13" s="6" t="n"/>
      <c r="F13" s="9">
        <f>IF(AND(D13&lt;&gt;"",D$5&lt;&gt;""), D13/D$5, "")</f>
        <v/>
      </c>
    </row>
    <row r="14">
      <c r="A14" s="5" t="n">
        <v>10</v>
      </c>
      <c r="B14" s="6" t="n"/>
      <c r="C14" s="6" t="n"/>
      <c r="D14" s="9">
        <f>IF(C14&lt;&gt;"", 100/C14, "")</f>
        <v/>
      </c>
      <c r="E14" s="6" t="n"/>
      <c r="F14" s="9">
        <f>IF(AND(D14&lt;&gt;"",D$5&lt;&gt;""), D14/D$5, "")</f>
        <v/>
      </c>
    </row>
    <row r="15">
      <c r="A15" s="5" t="n">
        <v>11</v>
      </c>
      <c r="B15" s="6" t="n"/>
      <c r="C15" s="6" t="n"/>
      <c r="D15" s="9">
        <f>IF(C15&lt;&gt;"", 100/C15, "")</f>
        <v/>
      </c>
      <c r="E15" s="6" t="n"/>
      <c r="F15" s="9">
        <f>IF(AND(D15&lt;&gt;"",D$5&lt;&gt;""), D15/D$5, "")</f>
        <v/>
      </c>
    </row>
    <row r="16">
      <c r="A16" s="5" t="n">
        <v>12</v>
      </c>
      <c r="B16" s="6" t="n"/>
      <c r="C16" s="6" t="n"/>
      <c r="D16" s="9">
        <f>IF(C16&lt;&gt;"", 100/C16, "")</f>
        <v/>
      </c>
      <c r="E16" s="6" t="n"/>
      <c r="F16" s="9">
        <f>IF(AND(D16&lt;&gt;"",D$5&lt;&gt;""), D16/D$5, "")</f>
        <v/>
      </c>
    </row>
    <row r="17">
      <c r="A17" s="5" t="n">
        <v>13</v>
      </c>
      <c r="B17" s="6" t="n"/>
      <c r="C17" s="6" t="n"/>
      <c r="D17" s="9">
        <f>IF(C17&lt;&gt;"", 100/C17, "")</f>
        <v/>
      </c>
      <c r="E17" s="6" t="n"/>
      <c r="F17" s="9">
        <f>IF(AND(D17&lt;&gt;"",D$5&lt;&gt;""), D17/D$5, "")</f>
        <v/>
      </c>
    </row>
    <row r="18">
      <c r="A18" s="5" t="n">
        <v>14</v>
      </c>
      <c r="B18" s="6" t="n"/>
      <c r="C18" s="6" t="n"/>
      <c r="D18" s="9">
        <f>IF(C18&lt;&gt;"", 100/C18, "")</f>
        <v/>
      </c>
      <c r="E18" s="6" t="n"/>
      <c r="F18" s="9">
        <f>IF(AND(D18&lt;&gt;"",D$5&lt;&gt;""), D18/D$5, "")</f>
        <v/>
      </c>
    </row>
    <row r="19">
      <c r="A19" s="5" t="n">
        <v>15</v>
      </c>
      <c r="B19" s="6" t="n"/>
      <c r="C19" s="6" t="n"/>
      <c r="D19" s="9">
        <f>IF(C19&lt;&gt;"", 100/C19, "")</f>
        <v/>
      </c>
      <c r="E19" s="6" t="n"/>
      <c r="F19" s="9">
        <f>IF(AND(D19&lt;&gt;"",D$5&lt;&gt;""), D19/D$5, "")</f>
        <v/>
      </c>
    </row>
    <row r="20">
      <c r="A20" s="5" t="n">
        <v>16</v>
      </c>
      <c r="B20" s="6" t="n"/>
      <c r="C20" s="6" t="n"/>
      <c r="D20" s="9">
        <f>IF(C20&lt;&gt;"", 100/C20, "")</f>
        <v/>
      </c>
      <c r="E20" s="6" t="n"/>
      <c r="F20" s="9">
        <f>IF(AND(D20&lt;&gt;"",D$5&lt;&gt;""), D20/D$5, "")</f>
        <v/>
      </c>
    </row>
    <row r="21">
      <c r="A21" s="5" t="n">
        <v>17</v>
      </c>
      <c r="B21" s="6" t="n"/>
      <c r="C21" s="6" t="n"/>
      <c r="D21" s="9">
        <f>IF(C21&lt;&gt;"", 100/C21, "")</f>
        <v/>
      </c>
      <c r="E21" s="6" t="n"/>
      <c r="F21" s="9">
        <f>IF(AND(D21&lt;&gt;"",D$5&lt;&gt;""), D21/D$5, "")</f>
        <v/>
      </c>
    </row>
    <row r="22">
      <c r="A22" s="5" t="n">
        <v>18</v>
      </c>
      <c r="B22" s="6" t="n"/>
      <c r="C22" s="6" t="n"/>
      <c r="D22" s="9">
        <f>IF(C22&lt;&gt;"", 100/C22, "")</f>
        <v/>
      </c>
      <c r="E22" s="6" t="n"/>
      <c r="F22" s="9">
        <f>IF(AND(D22&lt;&gt;"",D$5&lt;&gt;""), D22/D$5, "")</f>
        <v/>
      </c>
    </row>
    <row r="23">
      <c r="A23" s="5" t="n">
        <v>19</v>
      </c>
      <c r="B23" s="6" t="n"/>
      <c r="C23" s="6" t="n"/>
      <c r="D23" s="9">
        <f>IF(C23&lt;&gt;"", 100/C23, "")</f>
        <v/>
      </c>
      <c r="E23" s="6" t="n"/>
      <c r="F23" s="9">
        <f>IF(AND(D23&lt;&gt;"",D$5&lt;&gt;""), D23/D$5, "")</f>
        <v/>
      </c>
    </row>
    <row r="24">
      <c r="A24" s="5" t="n">
        <v>20</v>
      </c>
      <c r="B24" s="6" t="n"/>
      <c r="C24" s="6" t="n"/>
      <c r="D24" s="9">
        <f>IF(C24&lt;&gt;"", 100/C24, "")</f>
        <v/>
      </c>
      <c r="E24" s="6" t="n"/>
      <c r="F24" s="9">
        <f>IF(AND(D24&lt;&gt;"",D$5&lt;&gt;""), D24/D$5, "")</f>
        <v/>
      </c>
    </row>
    <row r="25">
      <c r="A25" s="5" t="n">
        <v>21</v>
      </c>
      <c r="B25" s="6" t="n"/>
      <c r="C25" s="6" t="n"/>
      <c r="D25" s="9">
        <f>IF(C25&lt;&gt;"", 100/C25, "")</f>
        <v/>
      </c>
      <c r="E25" s="6" t="n"/>
      <c r="F25" s="9">
        <f>IF(AND(D25&lt;&gt;"",D$5&lt;&gt;""), D25/D$5, "")</f>
        <v/>
      </c>
    </row>
    <row r="26">
      <c r="A26" s="5" t="n">
        <v>22</v>
      </c>
      <c r="B26" s="6" t="n"/>
      <c r="C26" s="6" t="n"/>
      <c r="D26" s="9">
        <f>IF(C26&lt;&gt;"", 100/C26, "")</f>
        <v/>
      </c>
      <c r="E26" s="6" t="n"/>
      <c r="F26" s="9">
        <f>IF(AND(D26&lt;&gt;"",D$5&lt;&gt;""), D26/D$5, "")</f>
        <v/>
      </c>
    </row>
    <row r="27">
      <c r="A27" s="5" t="n">
        <v>23</v>
      </c>
      <c r="B27" s="6" t="n"/>
      <c r="C27" s="6" t="n"/>
      <c r="D27" s="9">
        <f>IF(C27&lt;&gt;"", 100/C27, "")</f>
        <v/>
      </c>
      <c r="E27" s="6" t="n"/>
      <c r="F27" s="9">
        <f>IF(AND(D27&lt;&gt;"",D$5&lt;&gt;""), D27/D$5, "")</f>
        <v/>
      </c>
    </row>
    <row r="28">
      <c r="A28" s="5" t="n">
        <v>24</v>
      </c>
      <c r="B28" s="6" t="n"/>
      <c r="C28" s="6" t="n"/>
      <c r="D28" s="9">
        <f>IF(C28&lt;&gt;"", 100/C28, "")</f>
        <v/>
      </c>
      <c r="E28" s="6" t="n"/>
      <c r="F28" s="9">
        <f>IF(AND(D28&lt;&gt;"",D$5&lt;&gt;""), D28/D$5, "")</f>
        <v/>
      </c>
    </row>
    <row r="29">
      <c r="A29" s="5" t="n">
        <v>25</v>
      </c>
      <c r="B29" s="6" t="n"/>
      <c r="C29" s="6" t="n"/>
      <c r="D29" s="9">
        <f>IF(C29&lt;&gt;"", 100/C29, "")</f>
        <v/>
      </c>
      <c r="E29" s="6" t="n"/>
      <c r="F29" s="9">
        <f>IF(AND(D29&lt;&gt;"",D$5&lt;&gt;""), D29/D$5, "")</f>
        <v/>
      </c>
    </row>
    <row r="30">
      <c r="A30" s="5" t="n">
        <v>26</v>
      </c>
      <c r="B30" s="6" t="n"/>
      <c r="C30" s="6" t="n"/>
      <c r="D30" s="9">
        <f>IF(C30&lt;&gt;"", 100/C30, "")</f>
        <v/>
      </c>
      <c r="E30" s="6" t="n"/>
      <c r="F30" s="9">
        <f>IF(AND(D30&lt;&gt;"",D$5&lt;&gt;""), D30/D$5, "")</f>
        <v/>
      </c>
    </row>
    <row r="31">
      <c r="A31" s="5" t="n">
        <v>27</v>
      </c>
      <c r="B31" s="6" t="n"/>
      <c r="C31" s="6" t="n"/>
      <c r="D31" s="9">
        <f>IF(C31&lt;&gt;"", 100/C31, "")</f>
        <v/>
      </c>
      <c r="E31" s="6" t="n"/>
      <c r="F31" s="9">
        <f>IF(AND(D31&lt;&gt;"",D$5&lt;&gt;""), D31/D$5, "")</f>
        <v/>
      </c>
    </row>
    <row r="32">
      <c r="A32" s="5" t="n">
        <v>28</v>
      </c>
      <c r="B32" s="6" t="n"/>
      <c r="C32" s="6" t="n"/>
      <c r="D32" s="9">
        <f>IF(C32&lt;&gt;"", 100/C32, "")</f>
        <v/>
      </c>
      <c r="E32" s="6" t="n"/>
      <c r="F32" s="9">
        <f>IF(AND(D32&lt;&gt;"",D$5&lt;&gt;""), D32/D$5, "")</f>
        <v/>
      </c>
    </row>
    <row r="33">
      <c r="A33" s="5" t="n">
        <v>29</v>
      </c>
      <c r="B33" s="6" t="n"/>
      <c r="C33" s="6" t="n"/>
      <c r="D33" s="9">
        <f>IF(C33&lt;&gt;"", 100/C33, "")</f>
        <v/>
      </c>
      <c r="E33" s="6" t="n"/>
      <c r="F33" s="9">
        <f>IF(AND(D33&lt;&gt;"",D$5&lt;&gt;""), D33/D$5, "")</f>
        <v/>
      </c>
    </row>
    <row r="34">
      <c r="A34" s="5" t="n">
        <v>30</v>
      </c>
      <c r="B34" s="6" t="n"/>
      <c r="C34" s="6" t="n"/>
      <c r="D34" s="9">
        <f>IF(C34&lt;&gt;"", 100/C34, "")</f>
        <v/>
      </c>
      <c r="E34" s="6" t="n"/>
      <c r="F34" s="9">
        <f>IF(AND(D34&lt;&gt;"",D$5&lt;&gt;""), D34/D$5, "")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2026-03-06T22:14:50Z</dcterms:created>
  <dcterms:modified xmlns:dcterms="http://purl.org/dc/terms/" xmlns:xsi="http://www.w3.org/2001/XMLSchema-instance" xsi:type="dcterms:W3CDTF">2026-03-06T22:14:50Z</dcterms:modified>
</cp:coreProperties>
</file>